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we0027/Desktop/"/>
    </mc:Choice>
  </mc:AlternateContent>
  <xr:revisionPtr revIDLastSave="0" documentId="13_ncr:1_{63D2D169-3B83-FB47-BF94-1CD7F8CFA272}" xr6:coauthVersionLast="47" xr6:coauthVersionMax="47" xr10:uidLastSave="{00000000-0000-0000-0000-000000000000}"/>
  <bookViews>
    <workbookView xWindow="43780" yWindow="-21140" windowWidth="32680" windowHeight="15520" xr2:uid="{5486A9AF-DF2E-1C46-A8FD-EB409F1D59CC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3" i="1"/>
  <c r="J11" i="1"/>
  <c r="J10" i="1"/>
  <c r="J9" i="1"/>
  <c r="J8" i="1"/>
  <c r="J5" i="1"/>
  <c r="J4" i="1"/>
  <c r="J3" i="1"/>
  <c r="J2" i="1"/>
</calcChain>
</file>

<file path=xl/sharedStrings.xml><?xml version="1.0" encoding="utf-8"?>
<sst xmlns="http://schemas.openxmlformats.org/spreadsheetml/2006/main" count="131" uniqueCount="66">
  <si>
    <t>system_id</t>
  </si>
  <si>
    <t>relative_age_id</t>
  </si>
  <si>
    <t>relative_age_name</t>
  </si>
  <si>
    <t>description</t>
  </si>
  <si>
    <t>c14_age_older</t>
  </si>
  <si>
    <t>c14_age_younger</t>
  </si>
  <si>
    <t>cal_age_older</t>
  </si>
  <si>
    <t>cal_age_younger</t>
  </si>
  <si>
    <t>abbreviation</t>
  </si>
  <si>
    <t>status</t>
  </si>
  <si>
    <t>ArchDat</t>
  </si>
  <si>
    <t>ArchDat_Beschreibung</t>
  </si>
  <si>
    <t>Buto</t>
  </si>
  <si>
    <t>Buto (general)</t>
  </si>
  <si>
    <t>Buto1</t>
  </si>
  <si>
    <t>Butto I</t>
  </si>
  <si>
    <t>Buto2</t>
  </si>
  <si>
    <t>Butto II</t>
  </si>
  <si>
    <t>Lan</t>
  </si>
  <si>
    <t>Late Antiquity (3th to 7th century AD)</t>
  </si>
  <si>
    <t>NEW</t>
  </si>
  <si>
    <t>LBA BG</t>
  </si>
  <si>
    <t>Late Bronze Age BG</t>
  </si>
  <si>
    <t>LIA BG</t>
  </si>
  <si>
    <t>Late Iron Age (BG) - 550-350 cal BC</t>
  </si>
  <si>
    <t>NAGD3</t>
  </si>
  <si>
    <t>Nagada III</t>
  </si>
  <si>
    <t>NGD3 AB</t>
  </si>
  <si>
    <t>Nagada III A-B</t>
  </si>
  <si>
    <t>NGD3 CD</t>
  </si>
  <si>
    <t>Nagada III C-D</t>
  </si>
  <si>
    <t>OK 5/6</t>
  </si>
  <si>
    <t>Old Kingdom 5th-6th Dynasty</t>
  </si>
  <si>
    <t>ScanBrons</t>
  </si>
  <si>
    <t>Bronsålder (ca 1700 f. Kr. - 500 f. Kr.)</t>
  </si>
  <si>
    <t>ScanBronsYn4</t>
  </si>
  <si>
    <t>Period IV 1100 – 900</t>
  </si>
  <si>
    <t>ScanFörMod</t>
  </si>
  <si>
    <t>Förmodern tid (1500 e. Kr. - 1800 e. Kr.)</t>
  </si>
  <si>
    <t>ScanJärn</t>
  </si>
  <si>
    <t>Järnåldern (500 f. Kr. - ca 1000 e. Kr.)</t>
  </si>
  <si>
    <t>ScanJärnVik</t>
  </si>
  <si>
    <t>Vikingatiden (800 e. Kr. - 1050 e. Kr.)</t>
  </si>
  <si>
    <t>ScanMesMel</t>
  </si>
  <si>
    <t>Mellanmesolitikum (6800 – 5500 f. kr)</t>
  </si>
  <si>
    <t>ScanMesSen</t>
  </si>
  <si>
    <t>Senmesolitikum (5500 – ca 4000 f. kr)</t>
  </si>
  <si>
    <t>Late Antiquity</t>
  </si>
  <si>
    <t>Late Iron Age (BG)</t>
  </si>
  <si>
    <t xml:space="preserve">Bronsålder </t>
  </si>
  <si>
    <t>Förmodern tid</t>
  </si>
  <si>
    <t>Järnåldern</t>
  </si>
  <si>
    <t>Mellanmesolitikum</t>
  </si>
  <si>
    <t>Senmesolitikum</t>
  </si>
  <si>
    <t>Epoche</t>
  </si>
  <si>
    <t>VWZ</t>
  </si>
  <si>
    <t>BZ</t>
  </si>
  <si>
    <t>VREZ</t>
  </si>
  <si>
    <t>Neo</t>
  </si>
  <si>
    <t>Brons</t>
  </si>
  <si>
    <t>Medel</t>
  </si>
  <si>
    <t>Järn</t>
  </si>
  <si>
    <t>Sten</t>
  </si>
  <si>
    <t>EpocheStatus</t>
  </si>
  <si>
    <t>Existing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</si>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</sst>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MS Sans Serif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/>
    <xf numFmtId="49" fontId="1" fillId="0" borderId="0" xfId="0" applyNumberFormat="1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meauniversity.sharepoint.com/sites/SEAD72/Shared%20Documents/Task%20force%20-%20Archaeobotanical%20data/INPUT/Arbodat_MAL_Elena_input.xlsm" TargetMode="External"/><Relationship Id="rId1" Type="http://schemas.openxmlformats.org/officeDocument/2006/relationships/externalLinkPath" Target="https://umeauniversity.sharepoint.com/sites/SEAD72/Shared%20Documents/Task%20force%20-%20Archaeobotanical%20data/INPUT/Arbodat_MAL_Elena_inpu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Blad1"/>
      <sheetName val="INPUT"/>
      <sheetName val="TAXA_ALL"/>
      <sheetName val="feature_type"/>
      <sheetName val="sample_type"/>
      <sheetName val="relative ages"/>
      <sheetName val="arbodat_ages_ELENA"/>
      <sheetName val="_old_relative_ages_mapping"/>
      <sheetName val="site locations"/>
      <sheetName val="PIVOT"/>
      <sheetName val="Arbodat ⇒ SEAD"/>
      <sheetName val="SEAD⇒Arbodat"/>
      <sheetName val="overview"/>
      <sheetName val="locations"/>
      <sheetName val="sites"/>
      <sheetName val="site site types"/>
      <sheetName val="site types"/>
      <sheetName val="site type groups"/>
      <sheetName val="site references"/>
      <sheetName val="sample types"/>
      <sheetName val="modification types"/>
      <sheetName val="projects"/>
      <sheetName val="dataset masters"/>
      <sheetName val="physical samples"/>
      <sheetName val="alt ref types"/>
      <sheetName val="sample groups"/>
      <sheetName val="INPUT_SITES"/>
      <sheetName val="methods"/>
      <sheetName val="datasets"/>
      <sheetName val="dataset contacts"/>
      <sheetName val="data types"/>
      <sheetName val="analysis entities"/>
      <sheetName val="dataset submissions"/>
      <sheetName val="biblio"/>
      <sheetName val="contacts"/>
      <sheetName val="record types"/>
      <sheetName val="method groups"/>
      <sheetName val="taxa"/>
      <sheetName val="genera"/>
      <sheetName val="families"/>
      <sheetName val="value classes"/>
      <sheetName val="value types"/>
      <sheetName val="value type items"/>
      <sheetName val="analysis values"/>
      <sheetName val="sample alt refs"/>
      <sheetName val="abundances"/>
      <sheetName val="taxa tree orders"/>
      <sheetName val="taxonomic order systems"/>
      <sheetName val="taxonomic order"/>
      <sheetName val="feature type_OLD_IGNO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ED37-79BC-C547-90BF-EF4FF0855EEC}">
  <dimension ref="A1:N18"/>
  <sheetViews>
    <sheetView tabSelected="1" zoomScale="120" zoomScaleNormal="120" workbookViewId="0">
      <selection activeCell="P18" sqref="P18"/>
    </sheetView>
  </sheetViews>
  <sheetFormatPr baseColWidth="10" defaultRowHeight="16"/>
  <cols>
    <col min="1" max="2" width="10.83203125" style="4"/>
    <col min="3" max="3" width="19.1640625" style="4" customWidth="1"/>
    <col min="4" max="4" width="21.33203125" style="4" customWidth="1"/>
    <col min="5" max="5" width="15.1640625" style="4" customWidth="1"/>
    <col min="6" max="6" width="2.83203125" style="4" customWidth="1"/>
    <col min="7" max="7" width="4.6640625" style="4" customWidth="1"/>
    <col min="8" max="8" width="5.33203125" style="4" customWidth="1"/>
    <col min="9" max="9" width="13.6640625" style="4" customWidth="1"/>
    <col min="10" max="10" width="10.83203125" style="4"/>
    <col min="11" max="11" width="18.6640625" style="4" customWidth="1"/>
    <col min="12" max="12" width="34.6640625" style="4" customWidth="1"/>
    <col min="13" max="16384" width="10.83203125" style="4"/>
  </cols>
  <sheetData>
    <row r="1" spans="1:14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54</v>
      </c>
      <c r="N1" s="1" t="s">
        <v>63</v>
      </c>
    </row>
    <row r="2" spans="1:14">
      <c r="A2" s="5">
        <v>1</v>
      </c>
      <c r="B2" s="6"/>
      <c r="C2" s="6" t="s">
        <v>13</v>
      </c>
      <c r="D2" s="6" t="s">
        <v>13</v>
      </c>
      <c r="E2" s="6"/>
      <c r="F2" s="6"/>
      <c r="G2" s="6"/>
      <c r="H2" s="6"/>
      <c r="I2" s="6" t="s">
        <v>12</v>
      </c>
      <c r="J2" s="5" t="str">
        <f>_xlfn.XLOOKUP([1]!Table44[[#This Row],[ArchDat]],[1]!relative_ages_mappings[archdat_code],[1]!relative_ages_mappings[mapping_type])</f>
        <v>NEW</v>
      </c>
      <c r="K2" s="6" t="s">
        <v>12</v>
      </c>
      <c r="L2" s="6" t="s">
        <v>13</v>
      </c>
      <c r="M2" s="4" t="s">
        <v>58</v>
      </c>
      <c r="N2" s="8" t="s">
        <v>64</v>
      </c>
    </row>
    <row r="3" spans="1:14">
      <c r="A3" s="5">
        <v>2</v>
      </c>
      <c r="B3" s="6"/>
      <c r="C3" s="6" t="s">
        <v>15</v>
      </c>
      <c r="D3" s="6" t="s">
        <v>15</v>
      </c>
      <c r="E3" s="6"/>
      <c r="F3" s="6"/>
      <c r="G3" s="6"/>
      <c r="H3" s="6"/>
      <c r="I3" s="6" t="s">
        <v>14</v>
      </c>
      <c r="J3" s="5" t="str">
        <f>_xlfn.XLOOKUP([1]!Table44[[#This Row],[ArchDat]],[1]!relative_ages_mappings[archdat_code],[1]!relative_ages_mappings[mapping_type])</f>
        <v>NEW</v>
      </c>
      <c r="K3" s="6" t="s">
        <v>14</v>
      </c>
      <c r="L3" s="6" t="s">
        <v>15</v>
      </c>
      <c r="M3" s="4" t="s">
        <v>58</v>
      </c>
      <c r="N3" s="8" t="s">
        <v>64</v>
      </c>
    </row>
    <row r="4" spans="1:14">
      <c r="A4" s="5">
        <v>3</v>
      </c>
      <c r="B4" s="6"/>
      <c r="C4" s="6" t="s">
        <v>17</v>
      </c>
      <c r="D4" s="6" t="s">
        <v>17</v>
      </c>
      <c r="E4" s="6"/>
      <c r="F4" s="6"/>
      <c r="G4" s="6"/>
      <c r="H4" s="6"/>
      <c r="I4" s="6" t="s">
        <v>16</v>
      </c>
      <c r="J4" s="5" t="str">
        <f>_xlfn.XLOOKUP([1]!Table44[[#This Row],[ArchDat]],[1]!relative_ages_mappings[archdat_code],[1]!relative_ages_mappings[mapping_type])</f>
        <v>NEW</v>
      </c>
      <c r="K4" s="6" t="s">
        <v>16</v>
      </c>
      <c r="L4" s="6" t="s">
        <v>17</v>
      </c>
      <c r="M4" s="4" t="s">
        <v>58</v>
      </c>
      <c r="N4" s="8" t="s">
        <v>64</v>
      </c>
    </row>
    <row r="5" spans="1:14">
      <c r="A5" s="5">
        <v>4</v>
      </c>
      <c r="B5" s="6"/>
      <c r="C5" s="6" t="s">
        <v>47</v>
      </c>
      <c r="D5" s="6" t="s">
        <v>19</v>
      </c>
      <c r="E5" s="6"/>
      <c r="F5" s="6"/>
      <c r="G5" s="6"/>
      <c r="H5" s="6"/>
      <c r="I5" s="6" t="s">
        <v>18</v>
      </c>
      <c r="J5" s="5" t="str">
        <f>_xlfn.XLOOKUP([1]!Table44[[#This Row],[ArchDat]],[1]!relative_ages_mappings[archdat_code],[1]!relative_ages_mappings[mapping_type])</f>
        <v>NEW</v>
      </c>
      <c r="K5" s="6" t="s">
        <v>18</v>
      </c>
      <c r="L5" s="6" t="s">
        <v>19</v>
      </c>
      <c r="M5" s="7" t="s">
        <v>55</v>
      </c>
      <c r="N5" s="8" t="s">
        <v>64</v>
      </c>
    </row>
    <row r="6" spans="1:14">
      <c r="A6" s="5">
        <v>5</v>
      </c>
      <c r="B6" s="6"/>
      <c r="C6" s="6" t="s">
        <v>22</v>
      </c>
      <c r="D6" s="6" t="s">
        <v>22</v>
      </c>
      <c r="E6" s="6"/>
      <c r="F6" s="6"/>
      <c r="G6" s="6"/>
      <c r="H6" s="6"/>
      <c r="I6" s="6" t="s">
        <v>21</v>
      </c>
      <c r="J6" s="5" t="s">
        <v>20</v>
      </c>
      <c r="K6" s="6" t="s">
        <v>21</v>
      </c>
      <c r="L6" s="6" t="s">
        <v>22</v>
      </c>
      <c r="M6" s="7" t="s">
        <v>56</v>
      </c>
      <c r="N6" s="8" t="s">
        <v>64</v>
      </c>
    </row>
    <row r="7" spans="1:14">
      <c r="A7" s="5">
        <v>6</v>
      </c>
      <c r="B7" s="6"/>
      <c r="C7" s="6" t="s">
        <v>48</v>
      </c>
      <c r="D7" s="6" t="s">
        <v>24</v>
      </c>
      <c r="E7" s="6"/>
      <c r="F7" s="6"/>
      <c r="G7" s="6"/>
      <c r="H7" s="6"/>
      <c r="I7" s="6" t="s">
        <v>23</v>
      </c>
      <c r="J7" s="5" t="s">
        <v>20</v>
      </c>
      <c r="K7" s="6" t="s">
        <v>23</v>
      </c>
      <c r="L7" s="6" t="s">
        <v>24</v>
      </c>
      <c r="M7" s="7" t="s">
        <v>57</v>
      </c>
      <c r="N7" s="8" t="s">
        <v>64</v>
      </c>
    </row>
    <row r="8" spans="1:14">
      <c r="A8" s="5">
        <v>7</v>
      </c>
      <c r="B8" s="6"/>
      <c r="C8" s="6" t="s">
        <v>26</v>
      </c>
      <c r="D8" s="6" t="s">
        <v>26</v>
      </c>
      <c r="E8" s="6"/>
      <c r="F8" s="6"/>
      <c r="G8" s="6"/>
      <c r="H8" s="6"/>
      <c r="I8" s="6" t="s">
        <v>25</v>
      </c>
      <c r="J8" s="5" t="str">
        <f>_xlfn.XLOOKUP([1]!Table44[[#This Row],[ArchDat]],[1]!relative_ages_mappings[archdat_code],[1]!relative_ages_mappings[mapping_type])</f>
        <v>NEW</v>
      </c>
      <c r="K8" s="6" t="s">
        <v>25</v>
      </c>
      <c r="L8" s="6" t="s">
        <v>26</v>
      </c>
      <c r="M8" s="4" t="s">
        <v>58</v>
      </c>
      <c r="N8" s="8" t="s">
        <v>64</v>
      </c>
    </row>
    <row r="9" spans="1:14">
      <c r="A9" s="5">
        <v>8</v>
      </c>
      <c r="B9" s="6"/>
      <c r="C9" s="6" t="s">
        <v>28</v>
      </c>
      <c r="D9" s="6" t="s">
        <v>28</v>
      </c>
      <c r="E9" s="6"/>
      <c r="F9" s="6"/>
      <c r="G9" s="6"/>
      <c r="H9" s="6"/>
      <c r="I9" s="6" t="s">
        <v>27</v>
      </c>
      <c r="J9" s="5" t="str">
        <f>_xlfn.XLOOKUP([1]!Table44[[#This Row],[ArchDat]],[1]!relative_ages_mappings[archdat_code],[1]!relative_ages_mappings[mapping_type])</f>
        <v>NEW</v>
      </c>
      <c r="K9" s="6" t="s">
        <v>27</v>
      </c>
      <c r="L9" s="6" t="s">
        <v>28</v>
      </c>
      <c r="M9" s="4" t="s">
        <v>58</v>
      </c>
      <c r="N9" s="8" t="s">
        <v>64</v>
      </c>
    </row>
    <row r="10" spans="1:14">
      <c r="A10" s="5">
        <v>9</v>
      </c>
      <c r="B10" s="6"/>
      <c r="C10" s="6" t="s">
        <v>30</v>
      </c>
      <c r="D10" s="6" t="s">
        <v>30</v>
      </c>
      <c r="E10" s="6"/>
      <c r="F10" s="6"/>
      <c r="G10" s="6"/>
      <c r="H10" s="6"/>
      <c r="I10" s="6" t="s">
        <v>29</v>
      </c>
      <c r="J10" s="5" t="str">
        <f>_xlfn.XLOOKUP([1]!Table44[[#This Row],[ArchDat]],[1]!relative_ages_mappings[archdat_code],[1]!relative_ages_mappings[mapping_type])</f>
        <v>NEW</v>
      </c>
      <c r="K10" s="6" t="s">
        <v>29</v>
      </c>
      <c r="L10" s="6" t="s">
        <v>30</v>
      </c>
      <c r="M10" s="4" t="s">
        <v>58</v>
      </c>
      <c r="N10" s="8" t="s">
        <v>64</v>
      </c>
    </row>
    <row r="11" spans="1:14">
      <c r="A11" s="5">
        <v>10</v>
      </c>
      <c r="B11" s="6">
        <v>617</v>
      </c>
      <c r="C11" s="6"/>
      <c r="D11" s="6"/>
      <c r="E11" s="6"/>
      <c r="F11" s="6"/>
      <c r="G11" s="6"/>
      <c r="H11" s="6"/>
      <c r="I11" s="6"/>
      <c r="J11" s="5" t="str">
        <f>_xlfn.XLOOKUP([1]!Table44[[#This Row],[ArchDat]],[1]!relative_ages_mappings[archdat_code],[1]!relative_ages_mappings[mapping_type])</f>
        <v>existing</v>
      </c>
      <c r="K11" s="6" t="s">
        <v>31</v>
      </c>
      <c r="L11" s="6" t="s">
        <v>32</v>
      </c>
      <c r="M11" s="7" t="s">
        <v>56</v>
      </c>
      <c r="N11" s="8" t="s">
        <v>64</v>
      </c>
    </row>
    <row r="12" spans="1:14">
      <c r="A12" s="5">
        <v>11</v>
      </c>
      <c r="B12" s="6"/>
      <c r="C12" s="6" t="s">
        <v>49</v>
      </c>
      <c r="D12" s="6" t="s">
        <v>34</v>
      </c>
      <c r="E12" s="6"/>
      <c r="F12" s="6"/>
      <c r="G12" s="6"/>
      <c r="H12" s="6"/>
      <c r="I12" s="6" t="s">
        <v>33</v>
      </c>
      <c r="J12" s="5" t="s">
        <v>20</v>
      </c>
      <c r="K12" s="6" t="s">
        <v>33</v>
      </c>
      <c r="L12" s="6" t="s">
        <v>34</v>
      </c>
      <c r="M12" s="4" t="s">
        <v>59</v>
      </c>
      <c r="N12" s="8" t="s">
        <v>65</v>
      </c>
    </row>
    <row r="13" spans="1:14">
      <c r="A13" s="5">
        <v>12</v>
      </c>
      <c r="B13" s="6">
        <v>405</v>
      </c>
      <c r="C13" s="6"/>
      <c r="D13" s="6"/>
      <c r="E13" s="6"/>
      <c r="F13" s="6"/>
      <c r="G13" s="6"/>
      <c r="H13" s="6"/>
      <c r="I13" s="6"/>
      <c r="J13" s="5" t="str">
        <f>_xlfn.XLOOKUP([1]!Table44[[#This Row],[ArchDat]],[1]!relative_ages_mappings[archdat_code],[1]!relative_ages_mappings[mapping_type])</f>
        <v>existing</v>
      </c>
      <c r="K13" s="6" t="s">
        <v>35</v>
      </c>
      <c r="L13" s="6" t="s">
        <v>36</v>
      </c>
      <c r="M13" s="4" t="s">
        <v>59</v>
      </c>
      <c r="N13" s="8" t="s">
        <v>65</v>
      </c>
    </row>
    <row r="14" spans="1:14">
      <c r="A14" s="5">
        <v>13</v>
      </c>
      <c r="B14" s="6"/>
      <c r="C14" s="6" t="s">
        <v>50</v>
      </c>
      <c r="D14" s="6" t="s">
        <v>38</v>
      </c>
      <c r="E14" s="6"/>
      <c r="F14" s="6"/>
      <c r="G14" s="6"/>
      <c r="H14" s="6"/>
      <c r="I14" s="6" t="s">
        <v>37</v>
      </c>
      <c r="J14" s="5" t="s">
        <v>20</v>
      </c>
      <c r="K14" s="6" t="s">
        <v>37</v>
      </c>
      <c r="L14" s="6" t="s">
        <v>38</v>
      </c>
      <c r="M14" s="4" t="s">
        <v>60</v>
      </c>
      <c r="N14" s="8" t="s">
        <v>65</v>
      </c>
    </row>
    <row r="15" spans="1:14">
      <c r="A15" s="5">
        <v>14</v>
      </c>
      <c r="B15" s="6"/>
      <c r="C15" s="6" t="s">
        <v>51</v>
      </c>
      <c r="D15" s="6" t="s">
        <v>40</v>
      </c>
      <c r="E15" s="6"/>
      <c r="F15" s="6"/>
      <c r="G15" s="6"/>
      <c r="H15" s="6"/>
      <c r="I15" s="6" t="s">
        <v>39</v>
      </c>
      <c r="J15" s="5" t="s">
        <v>20</v>
      </c>
      <c r="K15" s="6" t="s">
        <v>39</v>
      </c>
      <c r="L15" s="6" t="s">
        <v>40</v>
      </c>
      <c r="M15" s="4" t="s">
        <v>61</v>
      </c>
      <c r="N15" s="8" t="s">
        <v>65</v>
      </c>
    </row>
    <row r="16" spans="1:14">
      <c r="A16" s="5">
        <v>15</v>
      </c>
      <c r="B16" s="6">
        <v>645</v>
      </c>
      <c r="C16" s="6"/>
      <c r="D16" s="6"/>
      <c r="E16" s="6"/>
      <c r="F16" s="6"/>
      <c r="G16" s="6"/>
      <c r="H16" s="6"/>
      <c r="I16" s="6"/>
      <c r="J16" s="5" t="str">
        <f>_xlfn.XLOOKUP([1]!Table44[[#This Row],[ArchDat]],[1]!relative_ages_mappings[archdat_code],[1]!relative_ages_mappings[mapping_type])</f>
        <v>existing</v>
      </c>
      <c r="K16" s="6" t="s">
        <v>41</v>
      </c>
      <c r="L16" s="6" t="s">
        <v>42</v>
      </c>
      <c r="M16" s="4" t="s">
        <v>61</v>
      </c>
      <c r="N16" s="8" t="s">
        <v>65</v>
      </c>
    </row>
    <row r="17" spans="1:14">
      <c r="A17" s="5">
        <v>16</v>
      </c>
      <c r="B17" s="6"/>
      <c r="C17" s="6" t="s">
        <v>52</v>
      </c>
      <c r="D17" s="6" t="s">
        <v>44</v>
      </c>
      <c r="E17" s="6"/>
      <c r="F17" s="6"/>
      <c r="G17" s="6"/>
      <c r="H17" s="6"/>
      <c r="I17" s="6" t="s">
        <v>43</v>
      </c>
      <c r="J17" s="5" t="s">
        <v>20</v>
      </c>
      <c r="K17" s="6" t="s">
        <v>43</v>
      </c>
      <c r="L17" s="6" t="s">
        <v>44</v>
      </c>
      <c r="M17" s="4" t="s">
        <v>62</v>
      </c>
      <c r="N17" s="8" t="s">
        <v>65</v>
      </c>
    </row>
    <row r="18" spans="1:14">
      <c r="A18" s="5">
        <v>17</v>
      </c>
      <c r="B18" s="6"/>
      <c r="C18" s="6" t="s">
        <v>53</v>
      </c>
      <c r="D18" s="6" t="s">
        <v>46</v>
      </c>
      <c r="E18" s="6"/>
      <c r="F18" s="6"/>
      <c r="G18" s="6"/>
      <c r="H18" s="6"/>
      <c r="I18" s="6" t="s">
        <v>45</v>
      </c>
      <c r="J18" s="5" t="s">
        <v>20</v>
      </c>
      <c r="K18" s="6" t="s">
        <v>45</v>
      </c>
      <c r="L18" s="6" t="s">
        <v>46</v>
      </c>
      <c r="M18" s="4" t="s">
        <v>62</v>
      </c>
      <c r="N18" s="8" t="s">
        <v>65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Rebecka Weegar</dc:creator>
  <cp:lastModifiedBy>Rebecka Weegar</cp:lastModifiedBy>
  <dcterms:created xsi:type="dcterms:W3CDTF">2026-03-11T13:17:05Z</dcterms:created>
  <dcterms:modified xsi:type="dcterms:W3CDTF">2026-03-11T13:37:58Z</dcterms:modified>
</cp:coreProperties>
</file>